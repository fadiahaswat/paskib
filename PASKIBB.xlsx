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PELETON INTI\"/>
    </mc:Choice>
  </mc:AlternateContent>
  <xr:revisionPtr revIDLastSave="0" documentId="13_ncr:1_{99ABAA00-D3DE-4A43-BA35-50D0278B02B5}" xr6:coauthVersionLast="47" xr6:coauthVersionMax="47" xr10:uidLastSave="{00000000-0000-0000-0000-000000000000}"/>
  <bookViews>
    <workbookView xWindow="-120" yWindow="-120" windowWidth="20730" windowHeight="11310" activeTab="2" xr2:uid="{20BEBC3B-2FBE-4EED-8CCE-A5F9044CB240}"/>
  </bookViews>
  <sheets>
    <sheet name="Lembar1" sheetId="1" r:id="rId1"/>
    <sheet name="Lembar2" sheetId="2" r:id="rId2"/>
    <sheet name="Lembar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F6" i="3" s="1"/>
  <c r="E13" i="3"/>
  <c r="F13" i="3" s="1"/>
  <c r="E7" i="3"/>
  <c r="F7" i="3" s="1"/>
  <c r="E10" i="3"/>
  <c r="F10" i="3" s="1"/>
  <c r="E2" i="3"/>
  <c r="F2" i="3" s="1"/>
  <c r="E12" i="3"/>
  <c r="F12" i="3" s="1"/>
  <c r="E8" i="3"/>
  <c r="F8" i="3" s="1"/>
  <c r="E3" i="3"/>
  <c r="F3" i="3" s="1"/>
  <c r="E4" i="3"/>
  <c r="F4" i="3" s="1"/>
  <c r="E9" i="3"/>
  <c r="F9" i="3" s="1"/>
  <c r="E5" i="3"/>
  <c r="F5" i="3" s="1"/>
  <c r="E11" i="3"/>
  <c r="F11" i="3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12" i="2"/>
  <c r="F12" i="2" s="1"/>
  <c r="E14" i="2"/>
  <c r="F14" i="2" s="1"/>
  <c r="E16" i="2"/>
  <c r="F16" i="2" s="1"/>
  <c r="E15" i="2"/>
  <c r="F15" i="2" s="1"/>
  <c r="E19" i="2"/>
  <c r="F19" i="2" s="1"/>
  <c r="E11" i="2"/>
  <c r="F11" i="2" s="1"/>
  <c r="E13" i="2"/>
  <c r="F13" i="2" s="1"/>
  <c r="E10" i="2"/>
  <c r="F10" i="2" s="1"/>
  <c r="E17" i="2"/>
  <c r="F17" i="2" s="1"/>
  <c r="E18" i="2"/>
  <c r="F18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</calcChain>
</file>

<file path=xl/sharedStrings.xml><?xml version="1.0" encoding="utf-8"?>
<sst xmlns="http://schemas.openxmlformats.org/spreadsheetml/2006/main" count="236" uniqueCount="78">
  <si>
    <t>Nama</t>
  </si>
  <si>
    <t>Kelas</t>
  </si>
  <si>
    <t>Lari</t>
  </si>
  <si>
    <t>Push Up</t>
  </si>
  <si>
    <t>Sit Up</t>
  </si>
  <si>
    <t>Shuttle</t>
  </si>
  <si>
    <t>Pull Up</t>
  </si>
  <si>
    <t>PBB</t>
  </si>
  <si>
    <t>Favian Sulthoni</t>
  </si>
  <si>
    <t>XI</t>
  </si>
  <si>
    <t>Hilmi Ar Rozan</t>
  </si>
  <si>
    <t>14'26''</t>
  </si>
  <si>
    <t>14'</t>
  </si>
  <si>
    <t>Azhar Fikri Saputra</t>
  </si>
  <si>
    <t>14'48''</t>
  </si>
  <si>
    <t>Ukasyah Haefanni</t>
  </si>
  <si>
    <t>14'62''</t>
  </si>
  <si>
    <t>Naufal Labib</t>
  </si>
  <si>
    <t>14'56''</t>
  </si>
  <si>
    <t>Adhim Satria</t>
  </si>
  <si>
    <t>15'46''</t>
  </si>
  <si>
    <t>Hisyam Ishak</t>
  </si>
  <si>
    <t>15'34''</t>
  </si>
  <si>
    <t>Dzaki Almalikh</t>
  </si>
  <si>
    <t>IX</t>
  </si>
  <si>
    <t>14'24''</t>
  </si>
  <si>
    <t>Averroes Lintang</t>
  </si>
  <si>
    <t>Dzaky Hilal</t>
  </si>
  <si>
    <t>Zakki Abyan</t>
  </si>
  <si>
    <t>15'16''</t>
  </si>
  <si>
    <t>Firman Aditya</t>
  </si>
  <si>
    <t>Fakhira Hamka</t>
  </si>
  <si>
    <t>X</t>
  </si>
  <si>
    <t>16'78''</t>
  </si>
  <si>
    <t>Fiko</t>
  </si>
  <si>
    <t>16'64''</t>
  </si>
  <si>
    <t>Mirza</t>
  </si>
  <si>
    <t>17'21''</t>
  </si>
  <si>
    <t>Razka Tirta</t>
  </si>
  <si>
    <t>18'08''</t>
  </si>
  <si>
    <t>Gilang Surya</t>
  </si>
  <si>
    <t>16'07''</t>
  </si>
  <si>
    <t>Zenedine Zidane</t>
  </si>
  <si>
    <t>17'92''</t>
  </si>
  <si>
    <t>Diandra Nadhif</t>
  </si>
  <si>
    <t>16'44''</t>
  </si>
  <si>
    <t>Wikan Rahman</t>
  </si>
  <si>
    <t>17'51''</t>
  </si>
  <si>
    <t>Zaky</t>
  </si>
  <si>
    <t>17'10''</t>
  </si>
  <si>
    <t>Reza Kendil</t>
  </si>
  <si>
    <t>16'57''</t>
  </si>
  <si>
    <t>Falhan Zuhdi</t>
  </si>
  <si>
    <t>17'48''</t>
  </si>
  <si>
    <t>A-</t>
  </si>
  <si>
    <t>C+</t>
  </si>
  <si>
    <t>C</t>
  </si>
  <si>
    <t>B</t>
  </si>
  <si>
    <t>B+</t>
  </si>
  <si>
    <t>B-</t>
  </si>
  <si>
    <t>A</t>
  </si>
  <si>
    <t>TB</t>
  </si>
  <si>
    <t>BB</t>
  </si>
  <si>
    <t>Ideal</t>
  </si>
  <si>
    <t>No</t>
  </si>
  <si>
    <t>Selisih</t>
  </si>
  <si>
    <t>KELAS IX</t>
  </si>
  <si>
    <t>KELAS X</t>
  </si>
  <si>
    <t>KELAS XI</t>
  </si>
  <si>
    <t>Reza Syarif</t>
  </si>
  <si>
    <t>Zaviqo Cleosa</t>
  </si>
  <si>
    <t>Adwa Mirza</t>
  </si>
  <si>
    <t>Faqih Aufa</t>
  </si>
  <si>
    <t>M. Wildan Argan</t>
  </si>
  <si>
    <t>M. Qomaruzzaman</t>
  </si>
  <si>
    <t>Dzaky Mufaddol</t>
  </si>
  <si>
    <t>Fathi Yusqi</t>
  </si>
  <si>
    <t>Fajrin Al Bchori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</si>
</sst>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1EB8-2931-44BD-817F-E9D3C2D67480}">
  <sheetPr>
    <pageSetUpPr fitToPage="1"/>
  </sheetPr>
  <dimension ref="A1:J24"/>
  <sheetViews>
    <sheetView topLeftCell="A4" zoomScale="98" workbookViewId="0">
      <selection sqref="A1:J24"/>
    </sheetView>
  </sheetViews>
  <sheetFormatPr defaultRowHeight="15" x14ac:dyDescent="0.25"/>
  <cols>
    <col min="1" max="1" width="17.7109375" bestFit="1" customWidth="1"/>
    <col min="2" max="2" width="7" style="1" customWidth="1"/>
    <col min="3" max="4" width="7" style="2" customWidth="1"/>
    <col min="5" max="5" width="7" style="3" customWidth="1"/>
    <col min="6" max="10" width="7" style="1" customWidth="1"/>
    <col min="12" max="12" width="5.42578125" customWidth="1"/>
    <col min="13" max="13" width="16" bestFit="1" customWidth="1"/>
    <col min="14" max="14" width="6.5703125" customWidth="1"/>
    <col min="15" max="15" width="3" customWidth="1"/>
    <col min="16" max="16" width="3.85546875" bestFit="1" customWidth="1"/>
    <col min="17" max="17" width="16" bestFit="1" customWidth="1"/>
    <col min="18" max="18" width="6.5703125" customWidth="1"/>
    <col min="19" max="19" width="3" customWidth="1"/>
    <col min="20" max="20" width="3.85546875" bestFit="1" customWidth="1"/>
    <col min="21" max="21" width="16" bestFit="1" customWidth="1"/>
    <col min="22" max="22" width="6.5703125" customWidth="1"/>
  </cols>
  <sheetData>
    <row r="1" spans="1:10" s="1" customFormat="1" x14ac:dyDescent="0.25">
      <c r="A1" s="4" t="s">
        <v>0</v>
      </c>
      <c r="B1" s="4" t="s">
        <v>1</v>
      </c>
      <c r="C1" s="4" t="s">
        <v>61</v>
      </c>
      <c r="D1" s="4" t="s">
        <v>62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x14ac:dyDescent="0.25">
      <c r="A2" s="5" t="s">
        <v>26</v>
      </c>
      <c r="B2" s="4" t="s">
        <v>24</v>
      </c>
      <c r="C2" s="6">
        <v>163.80000000000001</v>
      </c>
      <c r="D2" s="6">
        <v>52</v>
      </c>
      <c r="E2" s="7">
        <v>5.75</v>
      </c>
      <c r="F2" s="4">
        <v>23</v>
      </c>
      <c r="G2" s="4">
        <v>28</v>
      </c>
      <c r="H2" s="4" t="s">
        <v>22</v>
      </c>
      <c r="I2" s="4">
        <v>3</v>
      </c>
      <c r="J2" s="4" t="s">
        <v>60</v>
      </c>
    </row>
    <row r="3" spans="1:10" x14ac:dyDescent="0.25">
      <c r="A3" s="5" t="s">
        <v>23</v>
      </c>
      <c r="B3" s="4" t="s">
        <v>24</v>
      </c>
      <c r="C3" s="6">
        <v>166.6</v>
      </c>
      <c r="D3" s="6">
        <v>58</v>
      </c>
      <c r="E3" s="7">
        <v>5.15</v>
      </c>
      <c r="F3" s="4">
        <v>25</v>
      </c>
      <c r="G3" s="4">
        <v>25</v>
      </c>
      <c r="H3" s="4" t="s">
        <v>25</v>
      </c>
      <c r="I3" s="4">
        <v>6</v>
      </c>
      <c r="J3" s="4" t="s">
        <v>60</v>
      </c>
    </row>
    <row r="4" spans="1:10" x14ac:dyDescent="0.25">
      <c r="A4" s="5" t="s">
        <v>27</v>
      </c>
      <c r="B4" s="4" t="s">
        <v>24</v>
      </c>
      <c r="C4" s="6">
        <v>162</v>
      </c>
      <c r="D4" s="6">
        <v>53</v>
      </c>
      <c r="E4" s="7">
        <v>5.25</v>
      </c>
      <c r="F4" s="4">
        <v>24</v>
      </c>
      <c r="G4" s="4">
        <v>24</v>
      </c>
      <c r="H4" s="4" t="s">
        <v>11</v>
      </c>
      <c r="I4" s="4">
        <v>2</v>
      </c>
      <c r="J4" s="4" t="s">
        <v>60</v>
      </c>
    </row>
    <row r="5" spans="1:10" x14ac:dyDescent="0.25">
      <c r="A5" s="5" t="s">
        <v>52</v>
      </c>
      <c r="B5" s="4" t="s">
        <v>24</v>
      </c>
      <c r="C5" s="6">
        <v>174.3</v>
      </c>
      <c r="D5" s="8">
        <v>61.45</v>
      </c>
      <c r="E5" s="7">
        <v>6</v>
      </c>
      <c r="F5" s="4">
        <v>24</v>
      </c>
      <c r="G5" s="4">
        <v>21</v>
      </c>
      <c r="H5" s="4" t="s">
        <v>53</v>
      </c>
      <c r="I5" s="4">
        <v>0</v>
      </c>
      <c r="J5" s="4" t="s">
        <v>58</v>
      </c>
    </row>
    <row r="6" spans="1:10" x14ac:dyDescent="0.25">
      <c r="A6" s="5" t="s">
        <v>30</v>
      </c>
      <c r="B6" s="4" t="s">
        <v>24</v>
      </c>
      <c r="C6" s="6">
        <v>164.6</v>
      </c>
      <c r="D6" s="6">
        <v>50</v>
      </c>
      <c r="E6" s="7">
        <v>4.75</v>
      </c>
      <c r="F6" s="4">
        <v>18</v>
      </c>
      <c r="G6" s="4">
        <v>20</v>
      </c>
      <c r="H6" s="4" t="s">
        <v>29</v>
      </c>
      <c r="I6" s="4">
        <v>0</v>
      </c>
      <c r="J6" s="4" t="s">
        <v>60</v>
      </c>
    </row>
    <row r="7" spans="1:10" x14ac:dyDescent="0.25">
      <c r="A7" s="5" t="s">
        <v>28</v>
      </c>
      <c r="B7" s="4" t="s">
        <v>24</v>
      </c>
      <c r="C7" s="6">
        <v>168.9</v>
      </c>
      <c r="D7" s="6">
        <v>58</v>
      </c>
      <c r="E7" s="7">
        <v>5</v>
      </c>
      <c r="F7" s="4">
        <v>12</v>
      </c>
      <c r="G7" s="4">
        <v>26</v>
      </c>
      <c r="H7" s="4" t="s">
        <v>29</v>
      </c>
      <c r="I7" s="4">
        <v>0</v>
      </c>
      <c r="J7" s="4" t="s">
        <v>54</v>
      </c>
    </row>
    <row r="8" spans="1:10" x14ac:dyDescent="0.25">
      <c r="A8" s="5" t="s">
        <v>31</v>
      </c>
      <c r="B8" s="4" t="s">
        <v>32</v>
      </c>
      <c r="C8" s="6">
        <v>167</v>
      </c>
      <c r="D8" s="6">
        <v>55.2</v>
      </c>
      <c r="E8" s="7">
        <v>5.5</v>
      </c>
      <c r="F8" s="4">
        <v>41</v>
      </c>
      <c r="G8" s="4">
        <v>30</v>
      </c>
      <c r="H8" s="4" t="s">
        <v>33</v>
      </c>
      <c r="I8" s="4">
        <v>6</v>
      </c>
      <c r="J8" s="4" t="s">
        <v>54</v>
      </c>
    </row>
    <row r="9" spans="1:10" x14ac:dyDescent="0.25">
      <c r="A9" s="5" t="s">
        <v>38</v>
      </c>
      <c r="B9" s="4" t="s">
        <v>32</v>
      </c>
      <c r="C9" s="9">
        <v>165.3</v>
      </c>
      <c r="D9" s="6">
        <v>48.45</v>
      </c>
      <c r="E9" s="7">
        <v>4</v>
      </c>
      <c r="F9" s="4">
        <v>15</v>
      </c>
      <c r="G9" s="4">
        <v>24</v>
      </c>
      <c r="H9" s="4" t="s">
        <v>39</v>
      </c>
      <c r="I9" s="4">
        <v>1</v>
      </c>
      <c r="J9" s="4" t="s">
        <v>57</v>
      </c>
    </row>
    <row r="10" spans="1:10" x14ac:dyDescent="0.25">
      <c r="A10" s="5" t="s">
        <v>46</v>
      </c>
      <c r="B10" s="4" t="s">
        <v>32</v>
      </c>
      <c r="C10" s="9">
        <v>165.1</v>
      </c>
      <c r="D10" s="6">
        <v>63.15</v>
      </c>
      <c r="E10" s="7">
        <v>5.5</v>
      </c>
      <c r="F10" s="4">
        <v>27</v>
      </c>
      <c r="G10" s="4">
        <v>23</v>
      </c>
      <c r="H10" s="4" t="s">
        <v>47</v>
      </c>
      <c r="I10" s="4">
        <v>2</v>
      </c>
      <c r="J10" s="4" t="s">
        <v>57</v>
      </c>
    </row>
    <row r="11" spans="1:10" x14ac:dyDescent="0.25">
      <c r="A11" s="5" t="s">
        <v>50</v>
      </c>
      <c r="B11" s="4" t="s">
        <v>32</v>
      </c>
      <c r="C11" s="9">
        <v>161.6</v>
      </c>
      <c r="D11" s="6">
        <v>53.2</v>
      </c>
      <c r="E11" s="7">
        <v>5.5</v>
      </c>
      <c r="F11" s="4">
        <v>27</v>
      </c>
      <c r="G11" s="4">
        <v>30</v>
      </c>
      <c r="H11" s="4" t="s">
        <v>51</v>
      </c>
      <c r="I11" s="4">
        <v>5</v>
      </c>
      <c r="J11" s="4" t="s">
        <v>59</v>
      </c>
    </row>
    <row r="12" spans="1:10" x14ac:dyDescent="0.25">
      <c r="A12" s="5" t="s">
        <v>42</v>
      </c>
      <c r="B12" s="4" t="s">
        <v>32</v>
      </c>
      <c r="C12" s="9">
        <v>176</v>
      </c>
      <c r="D12" s="6">
        <v>67.849999999999994</v>
      </c>
      <c r="E12" s="7">
        <v>5.5</v>
      </c>
      <c r="F12" s="4">
        <v>30</v>
      </c>
      <c r="G12" s="4">
        <v>27</v>
      </c>
      <c r="H12" s="4" t="s">
        <v>43</v>
      </c>
      <c r="I12" s="4">
        <v>2</v>
      </c>
      <c r="J12" s="4" t="s">
        <v>59</v>
      </c>
    </row>
    <row r="13" spans="1:10" x14ac:dyDescent="0.25">
      <c r="A13" s="5" t="s">
        <v>44</v>
      </c>
      <c r="B13" s="4" t="s">
        <v>32</v>
      </c>
      <c r="C13" s="9">
        <v>170.8</v>
      </c>
      <c r="D13" s="6">
        <v>58.8</v>
      </c>
      <c r="E13" s="7">
        <v>6</v>
      </c>
      <c r="F13" s="4">
        <v>34</v>
      </c>
      <c r="G13" s="4">
        <v>30</v>
      </c>
      <c r="H13" s="4" t="s">
        <v>45</v>
      </c>
      <c r="I13" s="4">
        <v>3</v>
      </c>
      <c r="J13" s="4" t="s">
        <v>58</v>
      </c>
    </row>
    <row r="14" spans="1:10" x14ac:dyDescent="0.25">
      <c r="A14" s="5" t="s">
        <v>40</v>
      </c>
      <c r="B14" s="4" t="s">
        <v>32</v>
      </c>
      <c r="C14" s="9">
        <v>170.6</v>
      </c>
      <c r="D14" s="6">
        <v>61.25</v>
      </c>
      <c r="E14" s="7">
        <v>5.5</v>
      </c>
      <c r="F14" s="4">
        <v>23</v>
      </c>
      <c r="G14" s="4">
        <v>26</v>
      </c>
      <c r="H14" s="4" t="s">
        <v>41</v>
      </c>
      <c r="I14" s="4">
        <v>3</v>
      </c>
      <c r="J14" s="4" t="s">
        <v>58</v>
      </c>
    </row>
    <row r="15" spans="1:10" x14ac:dyDescent="0.25">
      <c r="A15" s="5" t="s">
        <v>36</v>
      </c>
      <c r="B15" s="4" t="s">
        <v>32</v>
      </c>
      <c r="C15" s="9">
        <v>164.8</v>
      </c>
      <c r="D15" s="6">
        <v>53.9</v>
      </c>
      <c r="E15" s="7">
        <v>4.5</v>
      </c>
      <c r="F15" s="4">
        <v>20</v>
      </c>
      <c r="G15" s="4">
        <v>16</v>
      </c>
      <c r="H15" s="4" t="s">
        <v>37</v>
      </c>
      <c r="I15" s="4">
        <v>0</v>
      </c>
      <c r="J15" s="4" t="s">
        <v>56</v>
      </c>
    </row>
    <row r="16" spans="1:10" x14ac:dyDescent="0.25">
      <c r="A16" s="5" t="s">
        <v>48</v>
      </c>
      <c r="B16" s="4" t="s">
        <v>32</v>
      </c>
      <c r="C16" s="9">
        <v>169.4</v>
      </c>
      <c r="D16" s="6">
        <v>58.8</v>
      </c>
      <c r="E16" s="7">
        <v>5.5</v>
      </c>
      <c r="F16" s="4">
        <v>26</v>
      </c>
      <c r="G16" s="4">
        <v>21</v>
      </c>
      <c r="H16" s="4" t="s">
        <v>49</v>
      </c>
      <c r="I16" s="4">
        <v>3</v>
      </c>
      <c r="J16" s="4" t="s">
        <v>56</v>
      </c>
    </row>
    <row r="17" spans="1:10" x14ac:dyDescent="0.25">
      <c r="A17" s="5" t="s">
        <v>34</v>
      </c>
      <c r="B17" s="4" t="s">
        <v>32</v>
      </c>
      <c r="C17" s="6">
        <v>170</v>
      </c>
      <c r="D17" s="6">
        <v>59.7</v>
      </c>
      <c r="E17" s="7">
        <v>5.5</v>
      </c>
      <c r="F17" s="4">
        <v>15</v>
      </c>
      <c r="G17" s="4">
        <v>23</v>
      </c>
      <c r="H17" s="4" t="s">
        <v>35</v>
      </c>
      <c r="I17" s="4">
        <v>1</v>
      </c>
      <c r="J17" s="4" t="s">
        <v>55</v>
      </c>
    </row>
    <row r="18" spans="1:10" x14ac:dyDescent="0.25">
      <c r="A18" s="5" t="s">
        <v>19</v>
      </c>
      <c r="B18" s="4" t="s">
        <v>9</v>
      </c>
      <c r="C18" s="6">
        <v>165</v>
      </c>
      <c r="D18" s="6">
        <v>72.5</v>
      </c>
      <c r="E18" s="7">
        <v>5.25</v>
      </c>
      <c r="F18" s="4">
        <v>13</v>
      </c>
      <c r="G18" s="4">
        <v>22</v>
      </c>
      <c r="H18" s="4" t="s">
        <v>20</v>
      </c>
      <c r="I18" s="4">
        <v>0</v>
      </c>
      <c r="J18" s="4" t="s">
        <v>58</v>
      </c>
    </row>
    <row r="19" spans="1:10" x14ac:dyDescent="0.25">
      <c r="A19" s="5" t="s">
        <v>13</v>
      </c>
      <c r="B19" s="4" t="s">
        <v>9</v>
      </c>
      <c r="C19" s="6">
        <v>175</v>
      </c>
      <c r="D19" s="6">
        <v>63</v>
      </c>
      <c r="E19" s="7">
        <v>5.5</v>
      </c>
      <c r="F19" s="4">
        <v>31</v>
      </c>
      <c r="G19" s="4">
        <v>27</v>
      </c>
      <c r="H19" s="4" t="s">
        <v>14</v>
      </c>
      <c r="I19" s="4">
        <v>5</v>
      </c>
      <c r="J19" s="4" t="s">
        <v>57</v>
      </c>
    </row>
    <row r="20" spans="1:10" x14ac:dyDescent="0.25">
      <c r="A20" s="5" t="s">
        <v>8</v>
      </c>
      <c r="B20" s="4" t="s">
        <v>9</v>
      </c>
      <c r="C20" s="6">
        <v>166</v>
      </c>
      <c r="D20" s="6">
        <v>59</v>
      </c>
      <c r="E20" s="7">
        <v>5.25</v>
      </c>
      <c r="F20" s="4">
        <v>18</v>
      </c>
      <c r="G20" s="4">
        <v>25</v>
      </c>
      <c r="H20" s="4" t="s">
        <v>12</v>
      </c>
      <c r="I20" s="4">
        <v>2</v>
      </c>
      <c r="J20" s="4" t="s">
        <v>54</v>
      </c>
    </row>
    <row r="21" spans="1:10" x14ac:dyDescent="0.25">
      <c r="A21" s="5" t="s">
        <v>10</v>
      </c>
      <c r="B21" s="4" t="s">
        <v>9</v>
      </c>
      <c r="C21" s="6">
        <v>175.4</v>
      </c>
      <c r="D21" s="6">
        <v>58</v>
      </c>
      <c r="E21" s="7">
        <v>5.25</v>
      </c>
      <c r="F21" s="4">
        <v>22</v>
      </c>
      <c r="G21" s="4">
        <v>33</v>
      </c>
      <c r="H21" s="4" t="s">
        <v>11</v>
      </c>
      <c r="I21" s="4">
        <v>6</v>
      </c>
      <c r="J21" s="4" t="s">
        <v>59</v>
      </c>
    </row>
    <row r="22" spans="1:10" x14ac:dyDescent="0.25">
      <c r="A22" s="5" t="s">
        <v>21</v>
      </c>
      <c r="B22" s="4" t="s">
        <v>9</v>
      </c>
      <c r="C22" s="6">
        <v>168.5</v>
      </c>
      <c r="D22" s="6">
        <v>69</v>
      </c>
      <c r="E22" s="7">
        <v>5.25</v>
      </c>
      <c r="F22" s="4">
        <v>22</v>
      </c>
      <c r="G22" s="4">
        <v>26</v>
      </c>
      <c r="H22" s="4" t="s">
        <v>22</v>
      </c>
      <c r="I22" s="4">
        <v>7</v>
      </c>
      <c r="J22" s="4" t="s">
        <v>60</v>
      </c>
    </row>
    <row r="23" spans="1:10" x14ac:dyDescent="0.25">
      <c r="A23" s="5" t="s">
        <v>17</v>
      </c>
      <c r="B23" s="4" t="s">
        <v>9</v>
      </c>
      <c r="C23" s="6">
        <v>174</v>
      </c>
      <c r="D23" s="6">
        <v>64</v>
      </c>
      <c r="E23" s="7">
        <v>5.5</v>
      </c>
      <c r="F23" s="4">
        <v>13</v>
      </c>
      <c r="G23" s="4">
        <v>25</v>
      </c>
      <c r="H23" s="4" t="s">
        <v>18</v>
      </c>
      <c r="I23" s="4">
        <v>0</v>
      </c>
      <c r="J23" s="4" t="s">
        <v>56</v>
      </c>
    </row>
    <row r="24" spans="1:10" x14ac:dyDescent="0.25">
      <c r="A24" s="5" t="s">
        <v>15</v>
      </c>
      <c r="B24" s="4" t="s">
        <v>9</v>
      </c>
      <c r="C24" s="6">
        <v>169.7</v>
      </c>
      <c r="D24" s="6">
        <v>54.6</v>
      </c>
      <c r="E24" s="7">
        <v>5.5</v>
      </c>
      <c r="F24" s="4">
        <v>22</v>
      </c>
      <c r="G24" s="4">
        <v>30</v>
      </c>
      <c r="H24" s="4" t="s">
        <v>16</v>
      </c>
      <c r="I24" s="4">
        <v>1</v>
      </c>
      <c r="J24" s="4" t="s">
        <v>60</v>
      </c>
    </row>
  </sheetData>
  <sortState xmlns:xlrd2="http://schemas.microsoft.com/office/spreadsheetml/2017/richdata2" ref="A8:J17">
    <sortCondition ref="J8:J17"/>
    <sortCondition ref="A8:A17"/>
  </sortState>
  <conditionalFormatting sqref="C2:C24">
    <cfRule type="cellIs" dxfId="0" priority="3" operator="lessThan">
      <formula>165</formula>
    </cfRule>
  </conditionalFormatting>
  <pageMargins left="0.7" right="0.7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FBFB-11A9-4126-81CB-2D30B6809316}">
  <sheetPr>
    <pageSetUpPr fitToPage="1"/>
  </sheetPr>
  <dimension ref="A1:N27"/>
  <sheetViews>
    <sheetView showWhiteSpace="0" zoomScale="92" zoomScaleNormal="92" workbookViewId="0">
      <pane ySplit="1" topLeftCell="A4" activePane="bottomLeft" state="frozen"/>
      <selection pane="bottomLeft" activeCell="I18" sqref="I18"/>
    </sheetView>
  </sheetViews>
  <sheetFormatPr defaultRowHeight="15" x14ac:dyDescent="0.25"/>
  <cols>
    <col min="1" max="1" width="3.5703125" style="1" bestFit="1" customWidth="1"/>
    <col min="2" max="2" width="17.7109375" bestFit="1" customWidth="1"/>
    <col min="3" max="3" width="5.7109375" bestFit="1" customWidth="1"/>
    <col min="4" max="4" width="6.5703125" style="11" bestFit="1" customWidth="1"/>
    <col min="5" max="5" width="5.42578125" style="1" bestFit="1" customWidth="1"/>
    <col min="6" max="6" width="7" customWidth="1"/>
    <col min="7" max="8" width="7" style="11" customWidth="1"/>
    <col min="9" max="12" width="7" customWidth="1"/>
    <col min="13" max="13" width="3.140625" bestFit="1" customWidth="1"/>
    <col min="14" max="14" width="7.42578125" bestFit="1" customWidth="1"/>
  </cols>
  <sheetData>
    <row r="1" spans="1:14" x14ac:dyDescent="0.25">
      <c r="A1" s="4" t="s">
        <v>64</v>
      </c>
      <c r="B1" s="4" t="s">
        <v>0</v>
      </c>
      <c r="C1" s="4" t="s">
        <v>1</v>
      </c>
      <c r="D1" s="4" t="s">
        <v>62</v>
      </c>
      <c r="E1" s="4" t="s">
        <v>63</v>
      </c>
      <c r="F1" s="14" t="s">
        <v>65</v>
      </c>
      <c r="G1" s="4" t="s">
        <v>61</v>
      </c>
      <c r="H1" s="4" t="s">
        <v>2</v>
      </c>
      <c r="I1" s="4" t="s">
        <v>3</v>
      </c>
      <c r="J1" s="4" t="s">
        <v>4</v>
      </c>
      <c r="K1" s="4" t="s">
        <v>6</v>
      </c>
      <c r="L1" s="18" t="s">
        <v>7</v>
      </c>
      <c r="M1" s="18"/>
      <c r="N1" s="4" t="s">
        <v>5</v>
      </c>
    </row>
    <row r="2" spans="1:14" x14ac:dyDescent="0.25">
      <c r="A2" s="19" t="s">
        <v>66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1:14" x14ac:dyDescent="0.25">
      <c r="A3" s="4">
        <v>1</v>
      </c>
      <c r="B3" s="15" t="s">
        <v>26</v>
      </c>
      <c r="C3" s="4" t="s">
        <v>24</v>
      </c>
      <c r="D3" s="12">
        <v>52</v>
      </c>
      <c r="E3" s="4">
        <f t="shared" ref="E3:E8" si="0">G3-110</f>
        <v>53.800000000000011</v>
      </c>
      <c r="F3" s="4">
        <f t="shared" ref="F3:F8" si="1">D3-E3</f>
        <v>-1.8000000000000114</v>
      </c>
      <c r="G3" s="12">
        <v>163.80000000000001</v>
      </c>
      <c r="H3" s="4">
        <v>5.75</v>
      </c>
      <c r="I3" s="4">
        <v>23</v>
      </c>
      <c r="J3" s="4">
        <v>28</v>
      </c>
      <c r="K3" s="4">
        <v>3</v>
      </c>
      <c r="L3" s="4">
        <v>10</v>
      </c>
      <c r="M3" s="4" t="s">
        <v>60</v>
      </c>
      <c r="N3" s="10">
        <v>15.34</v>
      </c>
    </row>
    <row r="4" spans="1:14" x14ac:dyDescent="0.25">
      <c r="A4" s="4">
        <v>2</v>
      </c>
      <c r="B4" s="5" t="s">
        <v>23</v>
      </c>
      <c r="C4" s="4" t="s">
        <v>24</v>
      </c>
      <c r="D4" s="12">
        <v>58</v>
      </c>
      <c r="E4" s="4">
        <f t="shared" si="0"/>
        <v>56.599999999999994</v>
      </c>
      <c r="F4" s="4">
        <f t="shared" si="1"/>
        <v>1.4000000000000057</v>
      </c>
      <c r="G4" s="12">
        <v>166.6</v>
      </c>
      <c r="H4" s="4">
        <v>5.15</v>
      </c>
      <c r="I4" s="4">
        <v>25</v>
      </c>
      <c r="J4" s="4">
        <v>25</v>
      </c>
      <c r="K4" s="4">
        <v>6</v>
      </c>
      <c r="L4" s="4">
        <v>10</v>
      </c>
      <c r="M4" s="4" t="s">
        <v>60</v>
      </c>
      <c r="N4" s="10">
        <v>14.24</v>
      </c>
    </row>
    <row r="5" spans="1:14" x14ac:dyDescent="0.25">
      <c r="A5" s="4">
        <v>3</v>
      </c>
      <c r="B5" s="15" t="s">
        <v>27</v>
      </c>
      <c r="C5" s="4" t="s">
        <v>24</v>
      </c>
      <c r="D5" s="12">
        <v>53</v>
      </c>
      <c r="E5" s="4">
        <f t="shared" si="0"/>
        <v>52</v>
      </c>
      <c r="F5" s="4">
        <f t="shared" si="1"/>
        <v>1</v>
      </c>
      <c r="G5" s="12">
        <v>162</v>
      </c>
      <c r="H5" s="4">
        <v>5.25</v>
      </c>
      <c r="I5" s="4">
        <v>24</v>
      </c>
      <c r="J5" s="4">
        <v>24</v>
      </c>
      <c r="K5" s="4">
        <v>2</v>
      </c>
      <c r="L5" s="4">
        <v>10</v>
      </c>
      <c r="M5" s="4" t="s">
        <v>60</v>
      </c>
      <c r="N5" s="10">
        <v>14.26</v>
      </c>
    </row>
    <row r="6" spans="1:14" x14ac:dyDescent="0.25">
      <c r="A6" s="4">
        <v>4</v>
      </c>
      <c r="B6" s="5" t="s">
        <v>52</v>
      </c>
      <c r="C6" s="4" t="s">
        <v>24</v>
      </c>
      <c r="D6" s="13">
        <v>61.45</v>
      </c>
      <c r="E6" s="4">
        <f t="shared" si="0"/>
        <v>64.300000000000011</v>
      </c>
      <c r="F6" s="4">
        <f t="shared" si="1"/>
        <v>-2.8500000000000085</v>
      </c>
      <c r="G6" s="12">
        <v>174.3</v>
      </c>
      <c r="H6" s="4">
        <v>6</v>
      </c>
      <c r="I6" s="4">
        <v>24</v>
      </c>
      <c r="J6" s="4">
        <v>21</v>
      </c>
      <c r="K6" s="4">
        <v>0</v>
      </c>
      <c r="L6" s="4">
        <v>8</v>
      </c>
      <c r="M6" s="4" t="s">
        <v>58</v>
      </c>
      <c r="N6" s="10">
        <v>17.48</v>
      </c>
    </row>
    <row r="7" spans="1:14" x14ac:dyDescent="0.25">
      <c r="A7" s="4">
        <v>5</v>
      </c>
      <c r="B7" s="15" t="s">
        <v>30</v>
      </c>
      <c r="C7" s="4" t="s">
        <v>24</v>
      </c>
      <c r="D7" s="12">
        <v>50</v>
      </c>
      <c r="E7" s="4">
        <f t="shared" si="0"/>
        <v>54.599999999999994</v>
      </c>
      <c r="F7" s="4">
        <f t="shared" si="1"/>
        <v>-4.5999999999999943</v>
      </c>
      <c r="G7" s="12">
        <v>164.6</v>
      </c>
      <c r="H7" s="4">
        <v>4.75</v>
      </c>
      <c r="I7" s="4">
        <v>18</v>
      </c>
      <c r="J7" s="4">
        <v>20</v>
      </c>
      <c r="K7" s="4">
        <v>0</v>
      </c>
      <c r="L7" s="4">
        <v>10</v>
      </c>
      <c r="M7" s="4" t="s">
        <v>60</v>
      </c>
      <c r="N7" s="10">
        <v>15.16</v>
      </c>
    </row>
    <row r="8" spans="1:14" x14ac:dyDescent="0.25">
      <c r="A8" s="4">
        <v>6</v>
      </c>
      <c r="B8" s="5" t="s">
        <v>28</v>
      </c>
      <c r="C8" s="4" t="s">
        <v>24</v>
      </c>
      <c r="D8" s="12">
        <v>58</v>
      </c>
      <c r="E8" s="4">
        <f t="shared" si="0"/>
        <v>58.900000000000006</v>
      </c>
      <c r="F8" s="4">
        <f t="shared" si="1"/>
        <v>-0.90000000000000568</v>
      </c>
      <c r="G8" s="12">
        <v>168.9</v>
      </c>
      <c r="H8" s="4">
        <v>5</v>
      </c>
      <c r="I8" s="4">
        <v>12</v>
      </c>
      <c r="J8" s="4">
        <v>26</v>
      </c>
      <c r="K8" s="4">
        <v>0</v>
      </c>
      <c r="L8" s="4">
        <v>9</v>
      </c>
      <c r="M8" s="4" t="s">
        <v>54</v>
      </c>
      <c r="N8" s="10">
        <v>15.16</v>
      </c>
    </row>
    <row r="9" spans="1:14" x14ac:dyDescent="0.25">
      <c r="A9" s="19" t="s">
        <v>67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x14ac:dyDescent="0.25">
      <c r="A10" s="4">
        <v>7</v>
      </c>
      <c r="B10" s="15" t="s">
        <v>71</v>
      </c>
      <c r="C10" s="4" t="s">
        <v>32</v>
      </c>
      <c r="D10" s="12">
        <v>53.9</v>
      </c>
      <c r="E10" s="4">
        <f t="shared" ref="E10:E19" si="2">G10-110</f>
        <v>54.800000000000011</v>
      </c>
      <c r="F10" s="4">
        <f t="shared" ref="F10:F19" si="3">D10-E10</f>
        <v>-0.90000000000001279</v>
      </c>
      <c r="G10" s="16">
        <v>164.8</v>
      </c>
      <c r="H10" s="4">
        <v>4.5</v>
      </c>
      <c r="I10" s="4">
        <v>20</v>
      </c>
      <c r="J10" s="4">
        <v>16</v>
      </c>
      <c r="K10" s="4">
        <v>0</v>
      </c>
      <c r="L10" s="4">
        <v>4</v>
      </c>
      <c r="M10" s="4" t="s">
        <v>56</v>
      </c>
      <c r="N10" s="10">
        <v>17.21</v>
      </c>
    </row>
    <row r="11" spans="1:14" x14ac:dyDescent="0.25">
      <c r="A11" s="4">
        <v>8</v>
      </c>
      <c r="B11" s="5" t="s">
        <v>44</v>
      </c>
      <c r="C11" s="4" t="s">
        <v>32</v>
      </c>
      <c r="D11" s="12">
        <v>58.8</v>
      </c>
      <c r="E11" s="4">
        <f t="shared" si="2"/>
        <v>60.800000000000011</v>
      </c>
      <c r="F11" s="4">
        <f t="shared" si="3"/>
        <v>-2.0000000000000142</v>
      </c>
      <c r="G11" s="16">
        <v>170.8</v>
      </c>
      <c r="H11" s="4">
        <v>6</v>
      </c>
      <c r="I11" s="4">
        <v>34</v>
      </c>
      <c r="J11" s="4">
        <v>30</v>
      </c>
      <c r="K11" s="4">
        <v>3</v>
      </c>
      <c r="L11" s="4">
        <v>8</v>
      </c>
      <c r="M11" s="4" t="s">
        <v>58</v>
      </c>
      <c r="N11" s="10">
        <v>16.440000000000001</v>
      </c>
    </row>
    <row r="12" spans="1:14" x14ac:dyDescent="0.25">
      <c r="A12" s="4">
        <v>9</v>
      </c>
      <c r="B12" s="5" t="s">
        <v>31</v>
      </c>
      <c r="C12" s="4" t="s">
        <v>32</v>
      </c>
      <c r="D12" s="12">
        <v>55.2</v>
      </c>
      <c r="E12" s="4">
        <f t="shared" si="2"/>
        <v>57</v>
      </c>
      <c r="F12" s="4">
        <f t="shared" si="3"/>
        <v>-1.7999999999999972</v>
      </c>
      <c r="G12" s="12">
        <v>167</v>
      </c>
      <c r="H12" s="4">
        <v>5.5</v>
      </c>
      <c r="I12" s="4">
        <v>41</v>
      </c>
      <c r="J12" s="4">
        <v>30</v>
      </c>
      <c r="K12" s="4">
        <v>6</v>
      </c>
      <c r="L12" s="4">
        <v>9</v>
      </c>
      <c r="M12" s="4" t="s">
        <v>54</v>
      </c>
      <c r="N12" s="10">
        <v>16.78</v>
      </c>
    </row>
    <row r="13" spans="1:14" x14ac:dyDescent="0.25">
      <c r="A13" s="4">
        <v>10</v>
      </c>
      <c r="B13" s="5" t="s">
        <v>40</v>
      </c>
      <c r="C13" s="4" t="s">
        <v>32</v>
      </c>
      <c r="D13" s="12">
        <v>61.25</v>
      </c>
      <c r="E13" s="4">
        <f t="shared" si="2"/>
        <v>60.599999999999994</v>
      </c>
      <c r="F13" s="4">
        <f t="shared" si="3"/>
        <v>0.65000000000000568</v>
      </c>
      <c r="G13" s="16">
        <v>170.6</v>
      </c>
      <c r="H13" s="4">
        <v>5.5</v>
      </c>
      <c r="I13" s="4">
        <v>23</v>
      </c>
      <c r="J13" s="4">
        <v>26</v>
      </c>
      <c r="K13" s="4">
        <v>3</v>
      </c>
      <c r="L13" s="4">
        <v>8</v>
      </c>
      <c r="M13" s="4" t="s">
        <v>58</v>
      </c>
      <c r="N13" s="10">
        <v>16.07</v>
      </c>
    </row>
    <row r="14" spans="1:14" x14ac:dyDescent="0.25">
      <c r="A14" s="4">
        <v>11</v>
      </c>
      <c r="B14" s="5" t="s">
        <v>38</v>
      </c>
      <c r="C14" s="4" t="s">
        <v>32</v>
      </c>
      <c r="D14" s="12">
        <v>48.45</v>
      </c>
      <c r="E14" s="4">
        <f t="shared" si="2"/>
        <v>55.300000000000011</v>
      </c>
      <c r="F14" s="4">
        <f t="shared" si="3"/>
        <v>-6.8500000000000085</v>
      </c>
      <c r="G14" s="16">
        <v>165.3</v>
      </c>
      <c r="H14" s="4">
        <v>4</v>
      </c>
      <c r="I14" s="4">
        <v>15</v>
      </c>
      <c r="J14" s="4">
        <v>24</v>
      </c>
      <c r="K14" s="4">
        <v>1</v>
      </c>
      <c r="L14" s="4">
        <v>7</v>
      </c>
      <c r="M14" s="4" t="s">
        <v>57</v>
      </c>
      <c r="N14" s="10">
        <v>18.079999999999998</v>
      </c>
    </row>
    <row r="15" spans="1:14" x14ac:dyDescent="0.25">
      <c r="A15" s="4">
        <v>12</v>
      </c>
      <c r="B15" s="15" t="s">
        <v>69</v>
      </c>
      <c r="C15" s="4" t="s">
        <v>32</v>
      </c>
      <c r="D15" s="12">
        <v>53.2</v>
      </c>
      <c r="E15" s="4">
        <f t="shared" si="2"/>
        <v>51.599999999999994</v>
      </c>
      <c r="F15" s="4">
        <f t="shared" si="3"/>
        <v>1.6000000000000085</v>
      </c>
      <c r="G15" s="16">
        <v>161.6</v>
      </c>
      <c r="H15" s="4">
        <v>5.5</v>
      </c>
      <c r="I15" s="4">
        <v>27</v>
      </c>
      <c r="J15" s="4">
        <v>30</v>
      </c>
      <c r="K15" s="4">
        <v>5</v>
      </c>
      <c r="L15" s="4">
        <v>6</v>
      </c>
      <c r="M15" s="4" t="s">
        <v>59</v>
      </c>
      <c r="N15" s="10">
        <v>16.57</v>
      </c>
    </row>
    <row r="16" spans="1:14" x14ac:dyDescent="0.25">
      <c r="A16" s="4">
        <v>13</v>
      </c>
      <c r="B16" s="5" t="s">
        <v>46</v>
      </c>
      <c r="C16" s="4" t="s">
        <v>32</v>
      </c>
      <c r="D16" s="12">
        <v>63.15</v>
      </c>
      <c r="E16" s="4">
        <f t="shared" si="2"/>
        <v>55.099999999999994</v>
      </c>
      <c r="F16" s="4">
        <f t="shared" si="3"/>
        <v>8.0500000000000043</v>
      </c>
      <c r="G16" s="16">
        <v>165.1</v>
      </c>
      <c r="H16" s="4">
        <v>5.5</v>
      </c>
      <c r="I16" s="4">
        <v>27</v>
      </c>
      <c r="J16" s="4">
        <v>23</v>
      </c>
      <c r="K16" s="4">
        <v>2</v>
      </c>
      <c r="L16" s="4">
        <v>7</v>
      </c>
      <c r="M16" s="4" t="s">
        <v>57</v>
      </c>
      <c r="N16" s="10">
        <v>17.510000000000002</v>
      </c>
    </row>
    <row r="17" spans="1:14" x14ac:dyDescent="0.25">
      <c r="A17" s="4">
        <v>14</v>
      </c>
      <c r="B17" s="5" t="s">
        <v>48</v>
      </c>
      <c r="C17" s="4" t="s">
        <v>32</v>
      </c>
      <c r="D17" s="12">
        <v>58.8</v>
      </c>
      <c r="E17" s="4">
        <f t="shared" si="2"/>
        <v>59.400000000000006</v>
      </c>
      <c r="F17" s="4">
        <f t="shared" si="3"/>
        <v>-0.60000000000000853</v>
      </c>
      <c r="G17" s="16">
        <v>169.4</v>
      </c>
      <c r="H17" s="4">
        <v>5.5</v>
      </c>
      <c r="I17" s="4">
        <v>26</v>
      </c>
      <c r="J17" s="4">
        <v>21</v>
      </c>
      <c r="K17" s="4">
        <v>3</v>
      </c>
      <c r="L17" s="4">
        <v>4</v>
      </c>
      <c r="M17" s="4" t="s">
        <v>56</v>
      </c>
      <c r="N17" s="10">
        <v>17.100000000000001</v>
      </c>
    </row>
    <row r="18" spans="1:14" x14ac:dyDescent="0.25">
      <c r="A18" s="4">
        <v>15</v>
      </c>
      <c r="B18" s="5" t="s">
        <v>70</v>
      </c>
      <c r="C18" s="4" t="s">
        <v>32</v>
      </c>
      <c r="D18" s="12">
        <v>59.7</v>
      </c>
      <c r="E18" s="4">
        <f t="shared" si="2"/>
        <v>60</v>
      </c>
      <c r="F18" s="4">
        <f t="shared" si="3"/>
        <v>-0.29999999999999716</v>
      </c>
      <c r="G18" s="12">
        <v>170</v>
      </c>
      <c r="H18" s="4">
        <v>5.5</v>
      </c>
      <c r="I18" s="4">
        <v>15</v>
      </c>
      <c r="J18" s="4">
        <v>23</v>
      </c>
      <c r="K18" s="4">
        <v>1</v>
      </c>
      <c r="L18" s="4">
        <v>5</v>
      </c>
      <c r="M18" s="4" t="s">
        <v>55</v>
      </c>
      <c r="N18" s="10">
        <v>16.64</v>
      </c>
    </row>
    <row r="19" spans="1:14" x14ac:dyDescent="0.25">
      <c r="A19" s="4">
        <v>16</v>
      </c>
      <c r="B19" s="5" t="s">
        <v>42</v>
      </c>
      <c r="C19" s="4" t="s">
        <v>32</v>
      </c>
      <c r="D19" s="12">
        <v>67.849999999999994</v>
      </c>
      <c r="E19" s="4">
        <f t="shared" si="2"/>
        <v>66</v>
      </c>
      <c r="F19" s="4">
        <f t="shared" si="3"/>
        <v>1.8499999999999943</v>
      </c>
      <c r="G19" s="16">
        <v>176</v>
      </c>
      <c r="H19" s="4">
        <v>5.5</v>
      </c>
      <c r="I19" s="4">
        <v>30</v>
      </c>
      <c r="J19" s="4">
        <v>27</v>
      </c>
      <c r="K19" s="4">
        <v>2</v>
      </c>
      <c r="L19" s="4">
        <v>6</v>
      </c>
      <c r="M19" s="4" t="s">
        <v>59</v>
      </c>
      <c r="N19" s="10">
        <v>17.920000000000002</v>
      </c>
    </row>
    <row r="20" spans="1:14" x14ac:dyDescent="0.25">
      <c r="A20" s="19" t="s">
        <v>68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/>
    </row>
    <row r="21" spans="1:14" x14ac:dyDescent="0.25">
      <c r="A21" s="4">
        <v>17</v>
      </c>
      <c r="B21" s="5" t="s">
        <v>19</v>
      </c>
      <c r="C21" s="4" t="s">
        <v>9</v>
      </c>
      <c r="D21" s="12">
        <v>72.5</v>
      </c>
      <c r="E21" s="4">
        <f t="shared" ref="E21:E27" si="4">G21-110</f>
        <v>55</v>
      </c>
      <c r="F21" s="4">
        <f t="shared" ref="F21:F27" si="5">D21-E21</f>
        <v>17.5</v>
      </c>
      <c r="G21" s="12">
        <v>165</v>
      </c>
      <c r="H21" s="4">
        <v>5.25</v>
      </c>
      <c r="I21" s="4">
        <v>13</v>
      </c>
      <c r="J21" s="4">
        <v>22</v>
      </c>
      <c r="K21" s="4">
        <v>0</v>
      </c>
      <c r="L21" s="4">
        <v>8</v>
      </c>
      <c r="M21" s="4" t="s">
        <v>58</v>
      </c>
      <c r="N21" s="10">
        <v>15.46</v>
      </c>
    </row>
    <row r="22" spans="1:14" x14ac:dyDescent="0.25">
      <c r="A22" s="4">
        <v>18</v>
      </c>
      <c r="B22" s="5" t="s">
        <v>13</v>
      </c>
      <c r="C22" s="4" t="s">
        <v>9</v>
      </c>
      <c r="D22" s="12">
        <v>63</v>
      </c>
      <c r="E22" s="4">
        <f t="shared" si="4"/>
        <v>65</v>
      </c>
      <c r="F22" s="4">
        <f t="shared" si="5"/>
        <v>-2</v>
      </c>
      <c r="G22" s="12">
        <v>175</v>
      </c>
      <c r="H22" s="4">
        <v>5.5</v>
      </c>
      <c r="I22" s="4">
        <v>31</v>
      </c>
      <c r="J22" s="4">
        <v>27</v>
      </c>
      <c r="K22" s="4">
        <v>5</v>
      </c>
      <c r="L22" s="4">
        <v>7</v>
      </c>
      <c r="M22" s="4" t="s">
        <v>57</v>
      </c>
      <c r="N22" s="10">
        <v>14.48</v>
      </c>
    </row>
    <row r="23" spans="1:14" x14ac:dyDescent="0.25">
      <c r="A23" s="4">
        <v>19</v>
      </c>
      <c r="B23" s="5" t="s">
        <v>8</v>
      </c>
      <c r="C23" s="4" t="s">
        <v>9</v>
      </c>
      <c r="D23" s="12">
        <v>59</v>
      </c>
      <c r="E23" s="4">
        <f t="shared" si="4"/>
        <v>56</v>
      </c>
      <c r="F23" s="4">
        <f t="shared" si="5"/>
        <v>3</v>
      </c>
      <c r="G23" s="12">
        <v>166</v>
      </c>
      <c r="H23" s="4">
        <v>5.25</v>
      </c>
      <c r="I23" s="4">
        <v>18</v>
      </c>
      <c r="J23" s="4">
        <v>25</v>
      </c>
      <c r="K23" s="4">
        <v>2</v>
      </c>
      <c r="L23" s="4">
        <v>9</v>
      </c>
      <c r="M23" s="4" t="s">
        <v>54</v>
      </c>
      <c r="N23" s="10">
        <v>14</v>
      </c>
    </row>
    <row r="24" spans="1:14" x14ac:dyDescent="0.25">
      <c r="A24" s="4">
        <v>20</v>
      </c>
      <c r="B24" s="5" t="s">
        <v>10</v>
      </c>
      <c r="C24" s="4" t="s">
        <v>9</v>
      </c>
      <c r="D24" s="12">
        <v>58</v>
      </c>
      <c r="E24" s="4">
        <f t="shared" si="4"/>
        <v>65.400000000000006</v>
      </c>
      <c r="F24" s="4">
        <f t="shared" si="5"/>
        <v>-7.4000000000000057</v>
      </c>
      <c r="G24" s="12">
        <v>175.4</v>
      </c>
      <c r="H24" s="4">
        <v>5.25</v>
      </c>
      <c r="I24" s="4">
        <v>22</v>
      </c>
      <c r="J24" s="4">
        <v>33</v>
      </c>
      <c r="K24" s="4">
        <v>6</v>
      </c>
      <c r="L24" s="4">
        <v>6</v>
      </c>
      <c r="M24" s="4" t="s">
        <v>59</v>
      </c>
      <c r="N24" s="10">
        <v>14.26</v>
      </c>
    </row>
    <row r="25" spans="1:14" x14ac:dyDescent="0.25">
      <c r="A25" s="4">
        <v>21</v>
      </c>
      <c r="B25" s="5" t="s">
        <v>21</v>
      </c>
      <c r="C25" s="4" t="s">
        <v>9</v>
      </c>
      <c r="D25" s="12">
        <v>69</v>
      </c>
      <c r="E25" s="4">
        <f t="shared" si="4"/>
        <v>58.5</v>
      </c>
      <c r="F25" s="4">
        <f t="shared" si="5"/>
        <v>10.5</v>
      </c>
      <c r="G25" s="12">
        <v>168.5</v>
      </c>
      <c r="H25" s="4">
        <v>5.25</v>
      </c>
      <c r="I25" s="4">
        <v>22</v>
      </c>
      <c r="J25" s="4">
        <v>26</v>
      </c>
      <c r="K25" s="4">
        <v>7</v>
      </c>
      <c r="L25" s="4">
        <v>10</v>
      </c>
      <c r="M25" s="4" t="s">
        <v>60</v>
      </c>
      <c r="N25" s="10">
        <v>15.34</v>
      </c>
    </row>
    <row r="26" spans="1:14" x14ac:dyDescent="0.25">
      <c r="A26" s="4">
        <v>22</v>
      </c>
      <c r="B26" s="5" t="s">
        <v>17</v>
      </c>
      <c r="C26" s="4" t="s">
        <v>9</v>
      </c>
      <c r="D26" s="12">
        <v>64</v>
      </c>
      <c r="E26" s="4">
        <f t="shared" si="4"/>
        <v>64</v>
      </c>
      <c r="F26" s="4">
        <f t="shared" si="5"/>
        <v>0</v>
      </c>
      <c r="G26" s="12">
        <v>174</v>
      </c>
      <c r="H26" s="4">
        <v>5.5</v>
      </c>
      <c r="I26" s="4">
        <v>13</v>
      </c>
      <c r="J26" s="4">
        <v>25</v>
      </c>
      <c r="K26" s="4">
        <v>0</v>
      </c>
      <c r="L26" s="4">
        <v>4</v>
      </c>
      <c r="M26" s="4" t="s">
        <v>56</v>
      </c>
      <c r="N26" s="10">
        <v>14.56</v>
      </c>
    </row>
    <row r="27" spans="1:14" x14ac:dyDescent="0.25">
      <c r="A27" s="4">
        <v>23</v>
      </c>
      <c r="B27" s="5" t="s">
        <v>15</v>
      </c>
      <c r="C27" s="4" t="s">
        <v>9</v>
      </c>
      <c r="D27" s="12">
        <v>54.6</v>
      </c>
      <c r="E27" s="4">
        <f t="shared" si="4"/>
        <v>59.699999999999989</v>
      </c>
      <c r="F27" s="4">
        <f t="shared" si="5"/>
        <v>-5.0999999999999872</v>
      </c>
      <c r="G27" s="12">
        <v>169.7</v>
      </c>
      <c r="H27" s="4">
        <v>5.5</v>
      </c>
      <c r="I27" s="4">
        <v>22</v>
      </c>
      <c r="J27" s="4">
        <v>30</v>
      </c>
      <c r="K27" s="4">
        <v>1</v>
      </c>
      <c r="L27" s="4">
        <v>10</v>
      </c>
      <c r="M27" s="4" t="s">
        <v>60</v>
      </c>
      <c r="N27" s="10">
        <v>14.62</v>
      </c>
    </row>
  </sheetData>
  <sortState xmlns:xlrd2="http://schemas.microsoft.com/office/spreadsheetml/2017/richdata2" ref="B10:N19">
    <sortCondition ref="B10:B19"/>
  </sortState>
  <mergeCells count="4">
    <mergeCell ref="L1:M1"/>
    <mergeCell ref="A2:N2"/>
    <mergeCell ref="A9:N9"/>
    <mergeCell ref="A20:N20"/>
  </mergeCells>
  <conditionalFormatting sqref="H3:H8 H10:H19 H21:H27">
    <cfRule type="colorScale" priority="17">
      <colorScale>
        <cfvo type="min"/>
        <cfvo type="percentile" val="50"/>
        <cfvo type="num" val="5.5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num" val="5"/>
        <cfvo type="num" val="5.5"/>
        <cfvo type="num" val="6"/>
        <color rgb="FFF8696B"/>
        <color rgb="FFFFEB84"/>
        <color rgb="FF63BE7B"/>
      </colorScale>
    </cfRule>
  </conditionalFormatting>
  <conditionalFormatting sqref="I3:I8 I10:I19 I21:I27">
    <cfRule type="colorScale" priority="16">
      <colorScale>
        <cfvo type="min"/>
        <cfvo type="percentile" val="50"/>
        <cfvo type="num" val="30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num" val="10"/>
        <cfvo type="num" val="20"/>
        <cfvo type="num" val="30"/>
        <color rgb="FFF8696B"/>
        <color rgb="FFFFEB84"/>
        <color rgb="FF63BE7B"/>
      </colorScale>
    </cfRule>
  </conditionalFormatting>
  <conditionalFormatting sqref="J3:J8 J10:J19 J21:J27">
    <cfRule type="colorScale" priority="15">
      <colorScale>
        <cfvo type="min"/>
        <cfvo type="percentile" val="50"/>
        <cfvo type="num" val="30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num" val="10"/>
        <cfvo type="num" val="20"/>
        <cfvo type="num" val="30"/>
        <color rgb="FFF8696B"/>
        <color rgb="FFFFEB84"/>
        <color rgb="FF63BE7B"/>
      </colorScale>
    </cfRule>
  </conditionalFormatting>
  <conditionalFormatting sqref="K3:K8 K10:K19 K21:K27">
    <cfRule type="colorScale" priority="9">
      <colorScale>
        <cfvo type="min"/>
        <cfvo type="percentile" val="50"/>
        <cfvo type="num" val="4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8 M10:M19 M21:M2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8 L10:L19 L21:L27">
    <cfRule type="colorScale" priority="7">
      <colorScale>
        <cfvo type="min"/>
        <cfvo type="percentile" val="50"/>
        <cfvo type="num" val="8"/>
        <color rgb="FFF8696B"/>
        <color rgb="FFFFEB84"/>
        <color rgb="FF63BE7B"/>
      </colorScale>
    </cfRule>
  </conditionalFormatting>
  <conditionalFormatting sqref="F3:F8 F10:F19 F21:F27">
    <cfRule type="colorScale" priority="4">
      <colorScale>
        <cfvo type="num" val="-5"/>
        <cfvo type="num" val="0"/>
        <cfvo type="num" val="5"/>
        <color rgb="FFF8696B"/>
        <color rgb="FF63BE7B"/>
        <color rgb="FFF8696B"/>
      </colorScale>
    </cfRule>
    <cfRule type="colorScale" priority="5">
      <colorScale>
        <cfvo type="num" val="-5"/>
        <cfvo type="num" val="0"/>
        <cfvo type="num" val="5"/>
        <color rgb="FFF8696B"/>
        <color rgb="FFFFEB84"/>
        <color rgb="FFF8696B"/>
      </colorScale>
    </cfRule>
  </conditionalFormatting>
  <conditionalFormatting sqref="G3:G8 G10:G19 G21:G27">
    <cfRule type="colorScale" priority="1">
      <colorScale>
        <cfvo type="num" val="165"/>
        <cfvo type="percentile" val="50"/>
        <cfvo type="num" val="167"/>
        <color rgb="FFF8696B"/>
        <color rgb="FFFFEB84"/>
        <color rgb="FF63BE7B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Header>&amp;C&amp;"-,Tebal"HASIL SELEKSI BAKAL CALON PASKIBRAKA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2C35-8293-49E9-A786-8A3D15C816F3}">
  <dimension ref="A1:M13"/>
  <sheetViews>
    <sheetView tabSelected="1" workbookViewId="0">
      <selection activeCell="B11" sqref="B11"/>
    </sheetView>
  </sheetViews>
  <sheetFormatPr defaultRowHeight="15" x14ac:dyDescent="0.25"/>
  <cols>
    <col min="1" max="1" width="3.5703125" style="22" bestFit="1" customWidth="1"/>
    <col min="2" max="2" width="17.85546875" style="22" bestFit="1" customWidth="1"/>
    <col min="3" max="3" width="5.7109375" style="22" bestFit="1" customWidth="1"/>
    <col min="4" max="4" width="6" style="22" bestFit="1" customWidth="1"/>
    <col min="5" max="5" width="9.140625" style="22"/>
    <col min="6" max="11" width="7" style="22" customWidth="1"/>
    <col min="12" max="12" width="7.28515625" style="22" customWidth="1"/>
    <col min="13" max="16384" width="9.140625" style="22"/>
  </cols>
  <sheetData>
    <row r="1" spans="1:13" x14ac:dyDescent="0.25">
      <c r="A1" s="17" t="s">
        <v>64</v>
      </c>
      <c r="B1" s="17" t="s">
        <v>0</v>
      </c>
      <c r="C1" s="17" t="s">
        <v>1</v>
      </c>
      <c r="D1" s="17" t="s">
        <v>62</v>
      </c>
      <c r="E1" s="17" t="s">
        <v>63</v>
      </c>
      <c r="F1" s="14" t="s">
        <v>65</v>
      </c>
      <c r="G1" s="17" t="s">
        <v>61</v>
      </c>
      <c r="H1" s="17" t="s">
        <v>2</v>
      </c>
      <c r="I1" s="17" t="s">
        <v>3</v>
      </c>
      <c r="J1" s="17" t="s">
        <v>4</v>
      </c>
      <c r="K1" s="17" t="s">
        <v>6</v>
      </c>
      <c r="L1" s="17" t="s">
        <v>7</v>
      </c>
      <c r="M1" s="17" t="s">
        <v>5</v>
      </c>
    </row>
    <row r="2" spans="1:13" x14ac:dyDescent="0.25">
      <c r="A2" s="17">
        <v>1</v>
      </c>
      <c r="B2" s="23" t="s">
        <v>73</v>
      </c>
      <c r="C2" s="24" t="s">
        <v>32</v>
      </c>
      <c r="D2" s="25">
        <v>72.900000000000006</v>
      </c>
      <c r="E2" s="24">
        <f>G2-110</f>
        <v>65.599999999999994</v>
      </c>
      <c r="F2" s="24">
        <f>D2-E2</f>
        <v>7.3000000000000114</v>
      </c>
      <c r="G2" s="26">
        <v>175.6</v>
      </c>
      <c r="H2" s="24">
        <v>4</v>
      </c>
      <c r="I2" s="24">
        <v>6</v>
      </c>
      <c r="J2" s="24">
        <v>28</v>
      </c>
      <c r="K2" s="24">
        <v>0</v>
      </c>
      <c r="L2" s="24" t="s">
        <v>57</v>
      </c>
      <c r="M2" s="27">
        <v>16.670000000000002</v>
      </c>
    </row>
    <row r="3" spans="1:13" x14ac:dyDescent="0.25">
      <c r="A3" s="17">
        <v>2</v>
      </c>
      <c r="B3" s="31" t="s">
        <v>42</v>
      </c>
      <c r="C3" s="29" t="s">
        <v>32</v>
      </c>
      <c r="D3" s="26">
        <v>67.7</v>
      </c>
      <c r="E3" s="24">
        <f>G3-110</f>
        <v>65.199999999999989</v>
      </c>
      <c r="F3" s="24">
        <f>D3-E3</f>
        <v>2.5000000000000142</v>
      </c>
      <c r="G3" s="26">
        <v>175.2</v>
      </c>
      <c r="H3" s="29">
        <v>5</v>
      </c>
      <c r="I3" s="29">
        <v>34</v>
      </c>
      <c r="J3" s="29">
        <v>30</v>
      </c>
      <c r="K3" s="29">
        <v>3</v>
      </c>
      <c r="L3" s="29" t="s">
        <v>57</v>
      </c>
      <c r="M3" s="27">
        <v>15.51</v>
      </c>
    </row>
    <row r="4" spans="1:13" x14ac:dyDescent="0.25">
      <c r="A4" s="17">
        <v>3</v>
      </c>
      <c r="B4" s="28" t="s">
        <v>76</v>
      </c>
      <c r="C4" s="29" t="s">
        <v>32</v>
      </c>
      <c r="D4" s="26">
        <v>75.099999999999994</v>
      </c>
      <c r="E4" s="24">
        <f>G4-110</f>
        <v>62</v>
      </c>
      <c r="F4" s="24">
        <f>D4-E4</f>
        <v>13.099999999999994</v>
      </c>
      <c r="G4" s="26">
        <v>172</v>
      </c>
      <c r="H4" s="29">
        <v>6</v>
      </c>
      <c r="I4" s="29">
        <v>15</v>
      </c>
      <c r="J4" s="29">
        <v>25</v>
      </c>
      <c r="K4" s="29">
        <v>0</v>
      </c>
      <c r="L4" s="30" t="s">
        <v>56</v>
      </c>
      <c r="M4" s="27">
        <v>16.559999999999999</v>
      </c>
    </row>
    <row r="5" spans="1:13" x14ac:dyDescent="0.25">
      <c r="A5" s="17">
        <v>4</v>
      </c>
      <c r="B5" s="31" t="s">
        <v>77</v>
      </c>
      <c r="C5" s="29" t="s">
        <v>32</v>
      </c>
      <c r="D5" s="26">
        <v>66</v>
      </c>
      <c r="E5" s="24">
        <f>G5-110</f>
        <v>61.900000000000006</v>
      </c>
      <c r="F5" s="24">
        <f>D5-E5</f>
        <v>4.0999999999999943</v>
      </c>
      <c r="G5" s="26">
        <v>171.9</v>
      </c>
      <c r="H5" s="29">
        <v>5</v>
      </c>
      <c r="I5" s="29">
        <v>26</v>
      </c>
      <c r="J5" s="29">
        <v>37</v>
      </c>
      <c r="K5" s="29">
        <v>1</v>
      </c>
      <c r="L5" s="30" t="s">
        <v>56</v>
      </c>
      <c r="M5" s="27">
        <v>15.06</v>
      </c>
    </row>
    <row r="6" spans="1:13" x14ac:dyDescent="0.25">
      <c r="A6" s="17">
        <v>5</v>
      </c>
      <c r="B6" s="31" t="s">
        <v>44</v>
      </c>
      <c r="C6" s="24" t="s">
        <v>32</v>
      </c>
      <c r="D6" s="25">
        <v>58</v>
      </c>
      <c r="E6" s="24">
        <f>G6-110</f>
        <v>60.800000000000011</v>
      </c>
      <c r="F6" s="24">
        <f>D6-E6</f>
        <v>-2.8000000000000114</v>
      </c>
      <c r="G6" s="26">
        <v>170.8</v>
      </c>
      <c r="H6" s="24">
        <v>6</v>
      </c>
      <c r="I6" s="24">
        <v>32</v>
      </c>
      <c r="J6" s="24">
        <v>34</v>
      </c>
      <c r="K6" s="24">
        <v>4</v>
      </c>
      <c r="L6" s="24" t="s">
        <v>60</v>
      </c>
      <c r="M6" s="27">
        <v>16.5</v>
      </c>
    </row>
    <row r="7" spans="1:13" x14ac:dyDescent="0.25">
      <c r="A7" s="17">
        <v>6</v>
      </c>
      <c r="B7" s="31" t="s">
        <v>40</v>
      </c>
      <c r="C7" s="24" t="s">
        <v>32</v>
      </c>
      <c r="D7" s="25">
        <v>61</v>
      </c>
      <c r="E7" s="24">
        <f>G7-110</f>
        <v>60.199999999999989</v>
      </c>
      <c r="F7" s="24">
        <f>D7-E7</f>
        <v>0.80000000000001137</v>
      </c>
      <c r="G7" s="26">
        <v>170.2</v>
      </c>
      <c r="H7" s="24">
        <v>5</v>
      </c>
      <c r="I7" s="24">
        <v>31</v>
      </c>
      <c r="J7" s="24">
        <v>30</v>
      </c>
      <c r="K7" s="24">
        <v>3</v>
      </c>
      <c r="L7" s="24" t="s">
        <v>60</v>
      </c>
      <c r="M7" s="27">
        <v>14.92</v>
      </c>
    </row>
    <row r="8" spans="1:13" x14ac:dyDescent="0.25">
      <c r="A8" s="17">
        <v>7</v>
      </c>
      <c r="B8" s="31" t="s">
        <v>75</v>
      </c>
      <c r="C8" s="29" t="s">
        <v>32</v>
      </c>
      <c r="D8" s="26">
        <v>52.6</v>
      </c>
      <c r="E8" s="24">
        <f>G8-110</f>
        <v>60.099999999999994</v>
      </c>
      <c r="F8" s="24">
        <f>D8-E8</f>
        <v>-7.4999999999999929</v>
      </c>
      <c r="G8" s="26">
        <v>170.1</v>
      </c>
      <c r="H8" s="29">
        <v>5</v>
      </c>
      <c r="I8" s="29">
        <v>22</v>
      </c>
      <c r="J8" s="29">
        <v>29</v>
      </c>
      <c r="K8" s="29">
        <v>0</v>
      </c>
      <c r="L8" s="30" t="s">
        <v>56</v>
      </c>
      <c r="M8" s="27">
        <v>15.53</v>
      </c>
    </row>
    <row r="9" spans="1:13" x14ac:dyDescent="0.25">
      <c r="A9" s="17">
        <v>8</v>
      </c>
      <c r="B9" s="31" t="s">
        <v>70</v>
      </c>
      <c r="C9" s="29" t="s">
        <v>32</v>
      </c>
      <c r="D9" s="26">
        <v>59.7</v>
      </c>
      <c r="E9" s="24">
        <f>G9-110</f>
        <v>60</v>
      </c>
      <c r="F9" s="24">
        <f>D9-E9</f>
        <v>-0.29999999999999716</v>
      </c>
      <c r="G9" s="26">
        <v>170</v>
      </c>
      <c r="H9" s="29">
        <v>5</v>
      </c>
      <c r="I9" s="29">
        <v>10</v>
      </c>
      <c r="J9" s="29">
        <v>21</v>
      </c>
      <c r="K9" s="29">
        <v>1</v>
      </c>
      <c r="L9" s="30" t="s">
        <v>56</v>
      </c>
      <c r="M9" s="27">
        <v>15.06</v>
      </c>
    </row>
    <row r="10" spans="1:13" x14ac:dyDescent="0.25">
      <c r="A10" s="17">
        <v>9</v>
      </c>
      <c r="B10" s="23" t="s">
        <v>72</v>
      </c>
      <c r="C10" s="24" t="s">
        <v>32</v>
      </c>
      <c r="D10" s="25">
        <v>71</v>
      </c>
      <c r="E10" s="24">
        <f>G10-110</f>
        <v>59.300000000000011</v>
      </c>
      <c r="F10" s="24">
        <f>D10-E10</f>
        <v>11.699999999999989</v>
      </c>
      <c r="G10" s="26">
        <v>169.3</v>
      </c>
      <c r="H10" s="24">
        <v>4</v>
      </c>
      <c r="I10" s="24">
        <v>21</v>
      </c>
      <c r="J10" s="24">
        <v>25</v>
      </c>
      <c r="K10" s="24">
        <v>0</v>
      </c>
      <c r="L10" s="24" t="s">
        <v>57</v>
      </c>
      <c r="M10" s="27">
        <v>16.09</v>
      </c>
    </row>
    <row r="11" spans="1:13" x14ac:dyDescent="0.25">
      <c r="A11" s="17">
        <v>10</v>
      </c>
      <c r="B11" s="31" t="s">
        <v>31</v>
      </c>
      <c r="C11" s="24" t="s">
        <v>32</v>
      </c>
      <c r="D11" s="25">
        <v>55</v>
      </c>
      <c r="E11" s="24">
        <f>G11-110</f>
        <v>57.800000000000011</v>
      </c>
      <c r="F11" s="24">
        <f>D11-E11</f>
        <v>-2.8000000000000114</v>
      </c>
      <c r="G11" s="26">
        <v>167.8</v>
      </c>
      <c r="H11" s="24">
        <v>5</v>
      </c>
      <c r="I11" s="24">
        <v>33</v>
      </c>
      <c r="J11" s="24">
        <v>34</v>
      </c>
      <c r="K11" s="24">
        <v>6</v>
      </c>
      <c r="L11" s="24" t="s">
        <v>60</v>
      </c>
      <c r="M11" s="27">
        <v>16.64</v>
      </c>
    </row>
    <row r="12" spans="1:13" x14ac:dyDescent="0.25">
      <c r="A12" s="17">
        <v>11</v>
      </c>
      <c r="B12" s="23" t="s">
        <v>74</v>
      </c>
      <c r="C12" s="24" t="s">
        <v>32</v>
      </c>
      <c r="D12" s="25">
        <v>56.7</v>
      </c>
      <c r="E12" s="24">
        <f>G12-110</f>
        <v>57.199999999999989</v>
      </c>
      <c r="F12" s="24">
        <f>D12-E12</f>
        <v>-0.49999999999998579</v>
      </c>
      <c r="G12" s="26">
        <v>167.2</v>
      </c>
      <c r="H12" s="24">
        <v>4</v>
      </c>
      <c r="I12" s="24">
        <v>39</v>
      </c>
      <c r="J12" s="24">
        <v>22</v>
      </c>
      <c r="K12" s="24">
        <v>0</v>
      </c>
      <c r="L12" s="24" t="s">
        <v>57</v>
      </c>
      <c r="M12" s="27">
        <v>15.75</v>
      </c>
    </row>
    <row r="13" spans="1:13" x14ac:dyDescent="0.25">
      <c r="A13" s="17">
        <v>13</v>
      </c>
      <c r="B13" s="32" t="s">
        <v>46</v>
      </c>
      <c r="C13" s="24" t="s">
        <v>32</v>
      </c>
      <c r="D13" s="25">
        <v>61.8</v>
      </c>
      <c r="E13" s="24">
        <f>G13-110</f>
        <v>55.599999999999994</v>
      </c>
      <c r="F13" s="24">
        <f>D13-E13</f>
        <v>6.2000000000000028</v>
      </c>
      <c r="G13" s="25">
        <v>165.6</v>
      </c>
      <c r="H13" s="24">
        <v>4</v>
      </c>
      <c r="I13" s="24">
        <v>32</v>
      </c>
      <c r="J13" s="24">
        <v>28</v>
      </c>
      <c r="K13" s="24">
        <v>2</v>
      </c>
      <c r="L13" s="24" t="s">
        <v>57</v>
      </c>
      <c r="M13" s="27">
        <v>16.170000000000002</v>
      </c>
    </row>
  </sheetData>
  <sortState xmlns:xlrd2="http://schemas.microsoft.com/office/spreadsheetml/2017/richdata2" ref="B2:M18">
    <sortCondition descending="1" ref="G2:G18"/>
  </sortState>
  <conditionalFormatting sqref="F2:F13">
    <cfRule type="colorScale" priority="2">
      <colorScale>
        <cfvo type="num" val="-5"/>
        <cfvo type="num" val="0"/>
        <cfvo type="num" val="5"/>
        <color rgb="FFF8696B"/>
        <color rgb="FF63BE7B"/>
        <color rgb="FFF8696B"/>
      </colorScale>
    </cfRule>
    <cfRule type="colorScale" priority="3">
      <colorScale>
        <cfvo type="num" val="-5"/>
        <cfvo type="num" val="0"/>
        <cfvo type="num" val="5"/>
        <color rgb="FFF8696B"/>
        <color rgb="FFFFEB84"/>
        <color rgb="FFF8696B"/>
      </colorScale>
    </cfRule>
  </conditionalFormatting>
  <conditionalFormatting sqref="G2:G13">
    <cfRule type="colorScale" priority="1">
      <colorScale>
        <cfvo type="num" val="165"/>
        <cfvo type="percentile" val="50"/>
        <cfvo type="num" val="167"/>
        <color rgb="FFF8696B"/>
        <color rgb="FFFFEB84"/>
        <color rgb="FF63BE7B"/>
      </colorScale>
    </cfRule>
  </conditionalFormatting>
  <conditionalFormatting sqref="H2:H13">
    <cfRule type="colorScale" priority="42">
      <colorScale>
        <cfvo type="min"/>
        <cfvo type="percentile" val="50"/>
        <cfvo type="num" val="5.5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num" val="5"/>
        <cfvo type="num" val="5.5"/>
        <cfvo type="num" val="6"/>
        <color rgb="FFF8696B"/>
        <color rgb="FFFFEB84"/>
        <color rgb="FF63BE7B"/>
      </colorScale>
    </cfRule>
  </conditionalFormatting>
  <conditionalFormatting sqref="I2:I13">
    <cfRule type="colorScale" priority="48">
      <colorScale>
        <cfvo type="min"/>
        <cfvo type="percentile" val="50"/>
        <cfvo type="num" val="30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num" val="10"/>
        <cfvo type="num" val="20"/>
        <cfvo type="num" val="30"/>
        <color rgb="FFF8696B"/>
        <color rgb="FFFFEB84"/>
        <color rgb="FF63BE7B"/>
      </colorScale>
    </cfRule>
  </conditionalFormatting>
  <conditionalFormatting sqref="J2:J13">
    <cfRule type="colorScale" priority="54">
      <colorScale>
        <cfvo type="min"/>
        <cfvo type="percentile" val="50"/>
        <cfvo type="num" val="30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num" val="10"/>
        <cfvo type="num" val="20"/>
        <cfvo type="num" val="30"/>
        <color rgb="FFF8696B"/>
        <color rgb="FFFFEB84"/>
        <color rgb="FF63BE7B"/>
      </colorScale>
    </cfRule>
  </conditionalFormatting>
  <conditionalFormatting sqref="K2:K13">
    <cfRule type="colorScale" priority="60">
      <colorScale>
        <cfvo type="min"/>
        <cfvo type="percentile" val="50"/>
        <cfvo type="num" val="4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3">
    <cfRule type="colorScale" priority="64">
      <colorScale>
        <cfvo type="min"/>
        <cfvo type="percentile" val="50"/>
        <cfvo type="num" val="8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Lembar1</vt:lpstr>
      <vt:lpstr>Lembar2</vt:lpstr>
      <vt:lpstr>Lembar3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2023-01-16T05:20:16Z</cp:lastPrinted>
  <dcterms:created xsi:type="dcterms:W3CDTF">2023-01-15T11:56:16Z</dcterms:created>
  <dcterms:modified xsi:type="dcterms:W3CDTF">2023-01-30T04:05:04Z</dcterms:modified>
</cp:coreProperties>
</file>